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Doktora\EGE\Projects\9-3501 (Transporter Robots)\After Being Accepted\Tasks\Task-03-(NBHCM)\Simulation\"/>
    </mc:Choice>
  </mc:AlternateContent>
  <xr:revisionPtr revIDLastSave="0" documentId="13_ncr:1_{32E28751-A78D-44DB-A2F0-5FE8E6707A45}" xr6:coauthVersionLast="47" xr6:coauthVersionMax="47" xr10:uidLastSave="{00000000-0000-0000-0000-000000000000}"/>
  <bookViews>
    <workbookView xWindow="-108" yWindow="-108" windowWidth="23256" windowHeight="12456" xr2:uid="{E4B17C99-B80F-4723-9AFC-E6DFEC6FBF51}"/>
  </bookViews>
  <sheets>
    <sheet name="Single_obs" sheetId="9" r:id="rId1"/>
    <sheet name="Multiple_obs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9" l="1"/>
  <c r="P19" i="9"/>
  <c r="P20" i="9"/>
  <c r="P22" i="9"/>
  <c r="P23" i="9"/>
  <c r="P24" i="9"/>
  <c r="P25" i="9"/>
  <c r="P26" i="9"/>
  <c r="P18" i="9"/>
  <c r="P7" i="9"/>
  <c r="P8" i="9"/>
  <c r="P9" i="9"/>
  <c r="P10" i="9"/>
  <c r="P11" i="9"/>
  <c r="P12" i="9"/>
  <c r="P13" i="9"/>
  <c r="P6" i="9"/>
  <c r="P5" i="9"/>
</calcChain>
</file>

<file path=xl/sharedStrings.xml><?xml version="1.0" encoding="utf-8"?>
<sst xmlns="http://schemas.openxmlformats.org/spreadsheetml/2006/main" count="240" uniqueCount="26">
  <si>
    <t>Bug0</t>
  </si>
  <si>
    <t>Bug1</t>
  </si>
  <si>
    <t>Bug2</t>
  </si>
  <si>
    <t>Time</t>
  </si>
  <si>
    <t>Length</t>
  </si>
  <si>
    <t>M3</t>
  </si>
  <si>
    <t>M4</t>
  </si>
  <si>
    <t>M1</t>
  </si>
  <si>
    <t>M2</t>
  </si>
  <si>
    <t>Bug0-HCM</t>
  </si>
  <si>
    <t>Bug1-HCM</t>
  </si>
  <si>
    <t>Bug2-HCM</t>
  </si>
  <si>
    <t>Bug0-NBHCM</t>
  </si>
  <si>
    <t>Bug1-NBHCM</t>
  </si>
  <si>
    <t>Bug2-NBHCM</t>
  </si>
  <si>
    <t>Average</t>
  </si>
  <si>
    <t>3 obs</t>
  </si>
  <si>
    <t>4 obs</t>
  </si>
  <si>
    <t>5 obs</t>
  </si>
  <si>
    <t>6 obs</t>
  </si>
  <si>
    <t>7 obs</t>
  </si>
  <si>
    <t>3 obs (1,6,7)</t>
  </si>
  <si>
    <t>4 obs(1,2,6,7)</t>
  </si>
  <si>
    <t>5 obs(1,2,3,6,7)</t>
  </si>
  <si>
    <t>6 obs(1,2,3,4,6,7)</t>
  </si>
  <si>
    <t>7 obs(1,2,3,4,5,6,7)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</si>
</sst>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6" xfId="0" applyBorder="1"/>
    <xf numFmtId="0" fontId="0" fillId="2" borderId="6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Multiple_obs!$Q$4</c:f>
              <c:strCache>
                <c:ptCount val="1"/>
                <c:pt idx="0">
                  <c:v>Bug0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Multiple_obs!$Q$5:$Q$9</c:f>
              <c:numCache>
                <c:formatCode>General</c:formatCode>
                <c:ptCount val="5"/>
                <c:pt idx="0">
                  <c:v>1.1100000000000001</c:v>
                </c:pt>
                <c:pt idx="1">
                  <c:v>1.2</c:v>
                </c:pt>
                <c:pt idx="2">
                  <c:v>1.5</c:v>
                </c:pt>
                <c:pt idx="3">
                  <c:v>1.5</c:v>
                </c:pt>
                <c:pt idx="4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03-4F92-BE5D-F95CDDB06AD6}"/>
            </c:ext>
          </c:extLst>
        </c:ser>
        <c:ser>
          <c:idx val="1"/>
          <c:order val="1"/>
          <c:tx>
            <c:strRef>
              <c:f>Multiple_obs!$T$4</c:f>
              <c:strCache>
                <c:ptCount val="1"/>
                <c:pt idx="0">
                  <c:v>Bug0-HCM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Multiple_obs!$T$5:$T$9</c:f>
              <c:numCache>
                <c:formatCode>General</c:formatCode>
                <c:ptCount val="5"/>
                <c:pt idx="0">
                  <c:v>2.8</c:v>
                </c:pt>
                <c:pt idx="1">
                  <c:v>3.08</c:v>
                </c:pt>
                <c:pt idx="2">
                  <c:v>3.24</c:v>
                </c:pt>
                <c:pt idx="3">
                  <c:v>3.46</c:v>
                </c:pt>
                <c:pt idx="4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03-4F92-BE5D-F95CDDB06AD6}"/>
            </c:ext>
          </c:extLst>
        </c:ser>
        <c:ser>
          <c:idx val="2"/>
          <c:order val="2"/>
          <c:tx>
            <c:strRef>
              <c:f>Multiple_obs!$W$4</c:f>
              <c:strCache>
                <c:ptCount val="1"/>
                <c:pt idx="0">
                  <c:v>Bug0-NBHCM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Multiple_obs!$W$5:$W$9</c:f>
              <c:numCache>
                <c:formatCode>General</c:formatCode>
                <c:ptCount val="5"/>
                <c:pt idx="0">
                  <c:v>2.0499999999999998</c:v>
                </c:pt>
                <c:pt idx="1">
                  <c:v>2.1800000000000002</c:v>
                </c:pt>
                <c:pt idx="2">
                  <c:v>2.36</c:v>
                </c:pt>
                <c:pt idx="3">
                  <c:v>2.38</c:v>
                </c:pt>
                <c:pt idx="4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03-4F92-BE5D-F95CDDB06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266911"/>
        <c:axId val="1603539759"/>
      </c:lineChart>
      <c:catAx>
        <c:axId val="14462669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539759"/>
        <c:crosses val="autoZero"/>
        <c:auto val="1"/>
        <c:lblAlgn val="ctr"/>
        <c:lblOffset val="100"/>
        <c:noMultiLvlLbl val="0"/>
      </c:catAx>
      <c:valAx>
        <c:axId val="1603539759"/>
        <c:scaling>
          <c:orientation val="minMax"/>
          <c:min val="0.5"/>
        </c:scaling>
        <c:delete val="0"/>
        <c:axPos val="l"/>
        <c:majorGridlines>
          <c:spPr>
            <a:ln w="9525" cap="sq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26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Multiple_obs!$R$4</c:f>
              <c:strCache>
                <c:ptCount val="1"/>
                <c:pt idx="0">
                  <c:v>Bug1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Multiple_obs!$R$5:$R$9</c:f>
              <c:numCache>
                <c:formatCode>General</c:formatCode>
                <c:ptCount val="5"/>
                <c:pt idx="0">
                  <c:v>3.24</c:v>
                </c:pt>
                <c:pt idx="1">
                  <c:v>4.75</c:v>
                </c:pt>
                <c:pt idx="2">
                  <c:v>5.75</c:v>
                </c:pt>
                <c:pt idx="3">
                  <c:v>7.32</c:v>
                </c:pt>
                <c:pt idx="4">
                  <c:v>10.66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0-4DC8-83B9-DE89236B57D8}"/>
            </c:ext>
          </c:extLst>
        </c:ser>
        <c:ser>
          <c:idx val="1"/>
          <c:order val="1"/>
          <c:tx>
            <c:strRef>
              <c:f>Multiple_obs!$U$4</c:f>
              <c:strCache>
                <c:ptCount val="1"/>
                <c:pt idx="0">
                  <c:v>Bug1-HCM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Multiple_obs!$U$5:$U$9</c:f>
              <c:numCache>
                <c:formatCode>General</c:formatCode>
                <c:ptCount val="5"/>
                <c:pt idx="0">
                  <c:v>6.8</c:v>
                </c:pt>
                <c:pt idx="1">
                  <c:v>13.94</c:v>
                </c:pt>
                <c:pt idx="2">
                  <c:v>18.8</c:v>
                </c:pt>
                <c:pt idx="3">
                  <c:v>27.15</c:v>
                </c:pt>
                <c:pt idx="4">
                  <c:v>43.48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50-4DC8-83B9-DE89236B57D8}"/>
            </c:ext>
          </c:extLst>
        </c:ser>
        <c:ser>
          <c:idx val="2"/>
          <c:order val="2"/>
          <c:tx>
            <c:strRef>
              <c:f>Multiple_obs!$X$4</c:f>
              <c:strCache>
                <c:ptCount val="1"/>
                <c:pt idx="0">
                  <c:v>Bug1-NBHCM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Multiple_obs!$X$5:$X$9</c:f>
              <c:numCache>
                <c:formatCode>General</c:formatCode>
                <c:ptCount val="5"/>
                <c:pt idx="0">
                  <c:v>4.8899999999999997</c:v>
                </c:pt>
                <c:pt idx="1">
                  <c:v>8.89</c:v>
                </c:pt>
                <c:pt idx="2">
                  <c:v>11.12</c:v>
                </c:pt>
                <c:pt idx="3">
                  <c:v>15.07</c:v>
                </c:pt>
                <c:pt idx="4">
                  <c:v>22.78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50-4DC8-83B9-DE89236B5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266911"/>
        <c:axId val="1603539759"/>
      </c:lineChart>
      <c:catAx>
        <c:axId val="1446266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rgbClr val="44546A"/>
                    </a:solidFill>
                  </a:rPr>
                  <a:t>Number of obstacles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539759"/>
        <c:crosses val="autoZero"/>
        <c:auto val="1"/>
        <c:lblAlgn val="ctr"/>
        <c:lblOffset val="100"/>
        <c:noMultiLvlLbl val="0"/>
      </c:catAx>
      <c:valAx>
        <c:axId val="1603539759"/>
        <c:scaling>
          <c:orientation val="minMax"/>
        </c:scaling>
        <c:delete val="0"/>
        <c:axPos val="l"/>
        <c:majorGridlines>
          <c:spPr>
            <a:ln w="9525" cap="sq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rgbClr val="44546A"/>
                    </a:solidFill>
                  </a:rPr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26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Multiple_obs!$S$4</c:f>
              <c:strCache>
                <c:ptCount val="1"/>
                <c:pt idx="0">
                  <c:v>Bug2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Multiple_obs!$S$5:$S$9</c:f>
              <c:numCache>
                <c:formatCode>General</c:formatCode>
                <c:ptCount val="5"/>
                <c:pt idx="0">
                  <c:v>2</c:v>
                </c:pt>
                <c:pt idx="1">
                  <c:v>2.4</c:v>
                </c:pt>
                <c:pt idx="2">
                  <c:v>2.73</c:v>
                </c:pt>
                <c:pt idx="3">
                  <c:v>2.98</c:v>
                </c:pt>
                <c:pt idx="4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1B-4A28-84ED-C519C93C6786}"/>
            </c:ext>
          </c:extLst>
        </c:ser>
        <c:ser>
          <c:idx val="1"/>
          <c:order val="1"/>
          <c:tx>
            <c:strRef>
              <c:f>Multiple_obs!$V$4</c:f>
              <c:strCache>
                <c:ptCount val="1"/>
                <c:pt idx="0">
                  <c:v>Bug2-HCM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Multiple_obs!$V$5:$V$9</c:f>
              <c:numCache>
                <c:formatCode>General</c:formatCode>
                <c:ptCount val="5"/>
                <c:pt idx="0">
                  <c:v>3.09</c:v>
                </c:pt>
                <c:pt idx="1">
                  <c:v>4.78</c:v>
                </c:pt>
                <c:pt idx="2">
                  <c:v>6.2</c:v>
                </c:pt>
                <c:pt idx="3">
                  <c:v>6.7</c:v>
                </c:pt>
                <c:pt idx="4">
                  <c:v>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1B-4A28-84ED-C519C93C6786}"/>
            </c:ext>
          </c:extLst>
        </c:ser>
        <c:ser>
          <c:idx val="2"/>
          <c:order val="2"/>
          <c:tx>
            <c:strRef>
              <c:f>Multiple_obs!$Y$4</c:f>
              <c:strCache>
                <c:ptCount val="1"/>
                <c:pt idx="0">
                  <c:v>Bug2-NBHCM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Multiple_obs!$Y$5:$Y$9</c:f>
              <c:numCache>
                <c:formatCode>General</c:formatCode>
                <c:ptCount val="5"/>
                <c:pt idx="0">
                  <c:v>2.2999999999999998</c:v>
                </c:pt>
                <c:pt idx="1">
                  <c:v>2.99</c:v>
                </c:pt>
                <c:pt idx="2">
                  <c:v>3.82</c:v>
                </c:pt>
                <c:pt idx="3">
                  <c:v>4.24</c:v>
                </c:pt>
                <c:pt idx="4">
                  <c:v>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1B-4A28-84ED-C519C93C6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266911"/>
        <c:axId val="1603539759"/>
      </c:lineChart>
      <c:catAx>
        <c:axId val="1446266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rgbClr val="44546A"/>
                    </a:solidFill>
                  </a:rPr>
                  <a:t>Number of obstacles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539759"/>
        <c:crosses val="autoZero"/>
        <c:auto val="1"/>
        <c:lblAlgn val="ctr"/>
        <c:lblOffset val="100"/>
        <c:noMultiLvlLbl val="0"/>
      </c:catAx>
      <c:valAx>
        <c:axId val="1603539759"/>
        <c:scaling>
          <c:orientation val="minMax"/>
          <c:min val="1"/>
        </c:scaling>
        <c:delete val="0"/>
        <c:axPos val="l"/>
        <c:majorGridlines>
          <c:spPr>
            <a:ln w="9525" cap="sq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rgbClr val="44546A"/>
                    </a:solidFill>
                  </a:rPr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26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52</xdr:row>
      <xdr:rowOff>0</xdr:rowOff>
    </xdr:from>
    <xdr:to>
      <xdr:col>11</xdr:col>
      <xdr:colOff>205068</xdr:colOff>
      <xdr:row>71</xdr:row>
      <xdr:rowOff>78108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02FAFB-CE2D-4800-945B-C85D6DD66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336176</xdr:colOff>
      <xdr:row>52</xdr:row>
      <xdr:rowOff>0</xdr:rowOff>
    </xdr:from>
    <xdr:to>
      <xdr:col>18</xdr:col>
      <xdr:colOff>180751</xdr:colOff>
      <xdr:row>71</xdr:row>
      <xdr:rowOff>78108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EDF4E4-C1A4-462D-9153-EE5A0A5A4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324970</xdr:colOff>
      <xdr:row>51</xdr:row>
      <xdr:rowOff>168089</xdr:rowOff>
    </xdr:from>
    <xdr:to>
      <xdr:col>24</xdr:col>
      <xdr:colOff>380551</xdr:colOff>
      <xdr:row>71</xdr:row>
      <xdr:rowOff>66903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7C6BB4-689B-4300-BB4E-583BD4B6F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8DF5-FBEA-4A43-8B38-E9101627AE60}">
  <dimension ref="B2:S28"/>
  <sheetViews>
    <sheetView tabSelected="1" topLeftCell="A10" zoomScale="115" zoomScaleNormal="115" workbookViewId="0">
      <selection activeCell="E28" sqref="E28"/>
    </sheetView>
  </sheetViews>
  <sheetFormatPr defaultRowHeight="14.4" x14ac:dyDescent="0.3"/>
  <cols>
    <col min="2" max="2" width="38" customWidth="1"/>
    <col min="3" max="3" width="8.88671875" style="4"/>
    <col min="4" max="4" width="8.88671875" style="8"/>
    <col min="5" max="5" width="38" customWidth="1"/>
    <col min="6" max="6" width="8.88671875" style="4"/>
    <col min="8" max="8" width="38" customWidth="1"/>
    <col min="9" max="9" width="8.88671875" style="4"/>
    <col min="11" max="11" width="38" customWidth="1"/>
    <col min="12" max="12" width="8.88671875" style="4"/>
    <col min="15" max="15" width="14.21875" customWidth="1"/>
    <col min="18" max="18" width="14.77734375" customWidth="1"/>
    <col min="19" max="19" width="11.109375" customWidth="1"/>
    <col min="24" max="24" width="8.88671875" customWidth="1"/>
  </cols>
  <sheetData>
    <row r="2" spans="2:19" x14ac:dyDescent="0.3">
      <c r="B2" s="16" t="s">
        <v>3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spans="2:19" x14ac:dyDescent="0.3">
      <c r="B4" s="18" t="s">
        <v>7</v>
      </c>
      <c r="C4" s="19"/>
      <c r="E4" s="18" t="s">
        <v>8</v>
      </c>
      <c r="F4" s="19"/>
      <c r="H4" s="18" t="s">
        <v>5</v>
      </c>
      <c r="I4" s="19"/>
      <c r="K4" s="18" t="s">
        <v>6</v>
      </c>
      <c r="L4" s="19"/>
      <c r="O4" s="18" t="s">
        <v>15</v>
      </c>
      <c r="P4" s="19"/>
    </row>
    <row r="5" spans="2:19" x14ac:dyDescent="0.3">
      <c r="B5" s="1" t="s">
        <v>0</v>
      </c>
      <c r="C5" s="5">
        <v>0.71</v>
      </c>
      <c r="E5" s="1" t="s">
        <v>0</v>
      </c>
      <c r="F5" s="5">
        <v>0.87</v>
      </c>
      <c r="H5" s="1" t="s">
        <v>0</v>
      </c>
      <c r="I5" s="5">
        <v>1.17</v>
      </c>
      <c r="K5" s="1" t="s">
        <v>0</v>
      </c>
      <c r="L5" s="5">
        <v>0.86</v>
      </c>
      <c r="O5" s="1" t="s">
        <v>0</v>
      </c>
      <c r="P5" s="5">
        <f>AVERAGE(C5,F5,I5,L5)</f>
        <v>0.90249999999999997</v>
      </c>
      <c r="R5" s="1" t="s">
        <v>0</v>
      </c>
      <c r="S5" s="5">
        <v>0.90249999999999997</v>
      </c>
    </row>
    <row r="6" spans="2:19" x14ac:dyDescent="0.3">
      <c r="B6" s="2" t="s">
        <v>1</v>
      </c>
      <c r="C6" s="6">
        <v>1.9</v>
      </c>
      <c r="E6" s="2" t="s">
        <v>1</v>
      </c>
      <c r="F6" s="6">
        <v>2.4700000000000002</v>
      </c>
      <c r="H6" s="2" t="s">
        <v>1</v>
      </c>
      <c r="I6" s="6">
        <v>1.8</v>
      </c>
      <c r="K6" s="2" t="s">
        <v>1</v>
      </c>
      <c r="L6" s="6">
        <v>1.7</v>
      </c>
      <c r="O6" s="2" t="s">
        <v>1</v>
      </c>
      <c r="P6" s="6">
        <f>AVERAGE(C6,F6,I6,L6)</f>
        <v>1.9675</v>
      </c>
      <c r="R6" s="2" t="s">
        <v>9</v>
      </c>
      <c r="S6" s="6">
        <v>1.5449999999999999</v>
      </c>
    </row>
    <row r="7" spans="2:19" x14ac:dyDescent="0.3">
      <c r="B7" s="2" t="s">
        <v>2</v>
      </c>
      <c r="C7" s="7">
        <v>0.83</v>
      </c>
      <c r="E7" s="2" t="s">
        <v>2</v>
      </c>
      <c r="F7" s="7">
        <v>1.19</v>
      </c>
      <c r="H7" s="2" t="s">
        <v>2</v>
      </c>
      <c r="I7" s="7">
        <v>1.08</v>
      </c>
      <c r="J7" s="2"/>
      <c r="K7" s="2" t="s">
        <v>2</v>
      </c>
      <c r="L7" s="7">
        <v>1</v>
      </c>
      <c r="O7" s="2" t="s">
        <v>2</v>
      </c>
      <c r="P7" s="7">
        <f t="shared" ref="P7:P13" si="0">AVERAGE(C7,F7,I7,L7)</f>
        <v>1.0249999999999999</v>
      </c>
      <c r="R7" s="3" t="s">
        <v>12</v>
      </c>
      <c r="S7" s="7">
        <v>1.1724999999999999</v>
      </c>
    </row>
    <row r="8" spans="2:19" x14ac:dyDescent="0.3">
      <c r="B8" s="1" t="s">
        <v>9</v>
      </c>
      <c r="C8" s="6">
        <v>1.41</v>
      </c>
      <c r="E8" s="1" t="s">
        <v>9</v>
      </c>
      <c r="F8" s="6">
        <v>1.64</v>
      </c>
      <c r="H8" s="1" t="s">
        <v>9</v>
      </c>
      <c r="I8" s="6">
        <v>1.73</v>
      </c>
      <c r="K8" s="1" t="s">
        <v>9</v>
      </c>
      <c r="L8" s="6">
        <v>1.4</v>
      </c>
      <c r="O8" s="1" t="s">
        <v>9</v>
      </c>
      <c r="P8" s="5">
        <f t="shared" si="0"/>
        <v>1.5449999999999999</v>
      </c>
      <c r="R8" s="2" t="s">
        <v>1</v>
      </c>
      <c r="S8" s="6">
        <v>1.9675</v>
      </c>
    </row>
    <row r="9" spans="2:19" x14ac:dyDescent="0.3">
      <c r="B9" s="2" t="s">
        <v>10</v>
      </c>
      <c r="C9" s="6">
        <v>3.81</v>
      </c>
      <c r="E9" s="2" t="s">
        <v>10</v>
      </c>
      <c r="F9" s="6">
        <v>6.16</v>
      </c>
      <c r="H9" s="2" t="s">
        <v>10</v>
      </c>
      <c r="I9" s="6">
        <v>4.1100000000000003</v>
      </c>
      <c r="K9" s="2" t="s">
        <v>10</v>
      </c>
      <c r="L9" s="6">
        <v>4.17</v>
      </c>
      <c r="O9" s="2" t="s">
        <v>10</v>
      </c>
      <c r="P9" s="6">
        <f t="shared" si="0"/>
        <v>4.5625</v>
      </c>
      <c r="R9" s="2" t="s">
        <v>10</v>
      </c>
      <c r="S9" s="6">
        <v>4.5625</v>
      </c>
    </row>
    <row r="10" spans="2:19" x14ac:dyDescent="0.3">
      <c r="B10" s="2" t="s">
        <v>11</v>
      </c>
      <c r="C10" s="7">
        <v>1.29</v>
      </c>
      <c r="E10" s="2" t="s">
        <v>11</v>
      </c>
      <c r="F10" s="7">
        <v>1.76</v>
      </c>
      <c r="H10" s="2" t="s">
        <v>11</v>
      </c>
      <c r="I10" s="7">
        <v>1.72</v>
      </c>
      <c r="K10" s="2" t="s">
        <v>11</v>
      </c>
      <c r="L10" s="7">
        <v>1.48</v>
      </c>
      <c r="O10" s="2" t="s">
        <v>11</v>
      </c>
      <c r="P10" s="7">
        <f t="shared" si="0"/>
        <v>1.5625</v>
      </c>
      <c r="R10" s="3" t="s">
        <v>13</v>
      </c>
      <c r="S10" s="7">
        <v>3.0100000000000002</v>
      </c>
    </row>
    <row r="11" spans="2:19" x14ac:dyDescent="0.3">
      <c r="B11" s="1" t="s">
        <v>12</v>
      </c>
      <c r="C11" s="9">
        <v>1.06</v>
      </c>
      <c r="E11" s="1" t="s">
        <v>12</v>
      </c>
      <c r="F11" s="9">
        <v>1.19</v>
      </c>
      <c r="H11" s="1" t="s">
        <v>12</v>
      </c>
      <c r="I11" s="9">
        <v>1.25</v>
      </c>
      <c r="K11" s="1" t="s">
        <v>12</v>
      </c>
      <c r="L11" s="9">
        <v>1.19</v>
      </c>
      <c r="O11" s="1" t="s">
        <v>12</v>
      </c>
      <c r="P11" s="5">
        <f t="shared" si="0"/>
        <v>1.1724999999999999</v>
      </c>
      <c r="R11" s="2" t="s">
        <v>2</v>
      </c>
      <c r="S11" s="6">
        <v>1.0249999999999999</v>
      </c>
    </row>
    <row r="12" spans="2:19" x14ac:dyDescent="0.3">
      <c r="B12" s="2" t="s">
        <v>13</v>
      </c>
      <c r="C12" s="10">
        <v>2.5099999999999998</v>
      </c>
      <c r="E12" s="2" t="s">
        <v>13</v>
      </c>
      <c r="F12" s="10">
        <v>4.5</v>
      </c>
      <c r="H12" s="2" t="s">
        <v>13</v>
      </c>
      <c r="I12" s="10">
        <v>2.64</v>
      </c>
      <c r="K12" s="2" t="s">
        <v>13</v>
      </c>
      <c r="L12" s="10">
        <v>2.39</v>
      </c>
      <c r="O12" s="2" t="s">
        <v>13</v>
      </c>
      <c r="P12" s="6">
        <f t="shared" si="0"/>
        <v>3.0100000000000002</v>
      </c>
      <c r="R12" s="2" t="s">
        <v>11</v>
      </c>
      <c r="S12" s="6">
        <v>1.5625</v>
      </c>
    </row>
    <row r="13" spans="2:19" x14ac:dyDescent="0.3">
      <c r="B13" s="3" t="s">
        <v>14</v>
      </c>
      <c r="C13" s="11">
        <v>1</v>
      </c>
      <c r="E13" s="3" t="s">
        <v>14</v>
      </c>
      <c r="F13" s="11">
        <v>1.39</v>
      </c>
      <c r="H13" s="3" t="s">
        <v>14</v>
      </c>
      <c r="I13" s="11">
        <v>1.46</v>
      </c>
      <c r="K13" s="3" t="s">
        <v>14</v>
      </c>
      <c r="L13" s="11">
        <v>1.41</v>
      </c>
      <c r="O13" s="3" t="s">
        <v>14</v>
      </c>
      <c r="P13" s="7">
        <f t="shared" si="0"/>
        <v>1.3149999999999999</v>
      </c>
      <c r="R13" s="3" t="s">
        <v>14</v>
      </c>
      <c r="S13" s="7">
        <v>1.3149999999999999</v>
      </c>
    </row>
    <row r="15" spans="2:19" x14ac:dyDescent="0.3">
      <c r="B15" s="16" t="s">
        <v>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7" spans="2:19" x14ac:dyDescent="0.3">
      <c r="B17" s="18" t="s">
        <v>7</v>
      </c>
      <c r="C17" s="19"/>
      <c r="E17" s="18" t="s">
        <v>8</v>
      </c>
      <c r="F17" s="19"/>
      <c r="H17" s="18" t="s">
        <v>5</v>
      </c>
      <c r="I17" s="19"/>
      <c r="K17" s="18" t="s">
        <v>6</v>
      </c>
      <c r="L17" s="19"/>
      <c r="O17" s="18" t="s">
        <v>15</v>
      </c>
      <c r="P17" s="19"/>
    </row>
    <row r="18" spans="2:19" x14ac:dyDescent="0.3">
      <c r="B18" s="1" t="s">
        <v>0</v>
      </c>
      <c r="C18" s="5">
        <v>211</v>
      </c>
      <c r="E18" s="1" t="s">
        <v>0</v>
      </c>
      <c r="F18" s="5">
        <v>220</v>
      </c>
      <c r="H18" s="1" t="s">
        <v>0</v>
      </c>
      <c r="I18" s="5">
        <v>231</v>
      </c>
      <c r="K18" s="1" t="s">
        <v>0</v>
      </c>
      <c r="L18" s="5">
        <v>206</v>
      </c>
      <c r="O18" s="1" t="s">
        <v>0</v>
      </c>
      <c r="P18" s="5">
        <f>AVERAGE(C18,F18,I18,L18)</f>
        <v>217</v>
      </c>
      <c r="R18" s="1" t="s">
        <v>0</v>
      </c>
      <c r="S18" s="5">
        <v>217</v>
      </c>
    </row>
    <row r="19" spans="2:19" x14ac:dyDescent="0.3">
      <c r="B19" s="2" t="s">
        <v>1</v>
      </c>
      <c r="C19" s="6">
        <v>431</v>
      </c>
      <c r="E19" s="2" t="s">
        <v>1</v>
      </c>
      <c r="F19" s="6">
        <v>579</v>
      </c>
      <c r="H19" s="2" t="s">
        <v>1</v>
      </c>
      <c r="I19" s="6">
        <v>431</v>
      </c>
      <c r="K19" s="2" t="s">
        <v>1</v>
      </c>
      <c r="L19" s="6">
        <v>420</v>
      </c>
      <c r="O19" s="2" t="s">
        <v>1</v>
      </c>
      <c r="P19" s="6">
        <f t="shared" ref="P19:P26" si="1">AVERAGE(C19,F19,I19,L19)</f>
        <v>465.25</v>
      </c>
      <c r="R19" s="2" t="s">
        <v>9</v>
      </c>
      <c r="S19" s="6">
        <v>360.75</v>
      </c>
    </row>
    <row r="20" spans="2:19" x14ac:dyDescent="0.3">
      <c r="B20" s="2" t="s">
        <v>2</v>
      </c>
      <c r="C20" s="7">
        <v>242</v>
      </c>
      <c r="E20" s="2" t="s">
        <v>2</v>
      </c>
      <c r="F20" s="7">
        <v>260</v>
      </c>
      <c r="H20" s="2" t="s">
        <v>2</v>
      </c>
      <c r="I20" s="7">
        <v>316</v>
      </c>
      <c r="J20" s="2"/>
      <c r="K20" s="2" t="s">
        <v>2</v>
      </c>
      <c r="L20" s="7">
        <v>255</v>
      </c>
      <c r="O20" s="2" t="s">
        <v>2</v>
      </c>
      <c r="P20" s="7">
        <f t="shared" si="1"/>
        <v>268.25</v>
      </c>
      <c r="R20" s="3" t="s">
        <v>12</v>
      </c>
      <c r="S20" s="7">
        <v>278.75</v>
      </c>
    </row>
    <row r="21" spans="2:19" x14ac:dyDescent="0.3">
      <c r="B21" s="1" t="s">
        <v>9</v>
      </c>
      <c r="C21" s="6">
        <v>326</v>
      </c>
      <c r="E21" s="1" t="s">
        <v>9</v>
      </c>
      <c r="F21" s="6">
        <v>402</v>
      </c>
      <c r="H21" s="1" t="s">
        <v>9</v>
      </c>
      <c r="I21" s="6">
        <v>370</v>
      </c>
      <c r="K21" s="1" t="s">
        <v>9</v>
      </c>
      <c r="L21" s="6">
        <v>345</v>
      </c>
      <c r="O21" s="1" t="s">
        <v>9</v>
      </c>
      <c r="P21" s="5">
        <f>AVERAGE(C21,F21,I21,L21)</f>
        <v>360.75</v>
      </c>
      <c r="R21" s="2" t="s">
        <v>1</v>
      </c>
      <c r="S21" s="6">
        <v>465.25</v>
      </c>
    </row>
    <row r="22" spans="2:19" x14ac:dyDescent="0.3">
      <c r="B22" s="2" t="s">
        <v>10</v>
      </c>
      <c r="C22" s="6">
        <v>786</v>
      </c>
      <c r="E22" s="2" t="s">
        <v>10</v>
      </c>
      <c r="F22" s="6">
        <v>1079</v>
      </c>
      <c r="H22" s="2" t="s">
        <v>10</v>
      </c>
      <c r="I22" s="6">
        <v>787</v>
      </c>
      <c r="K22" s="2" t="s">
        <v>10</v>
      </c>
      <c r="L22" s="6">
        <v>820</v>
      </c>
      <c r="O22" s="2" t="s">
        <v>10</v>
      </c>
      <c r="P22" s="6">
        <f t="shared" si="1"/>
        <v>868</v>
      </c>
      <c r="R22" s="2" t="s">
        <v>10</v>
      </c>
      <c r="S22" s="6">
        <v>865</v>
      </c>
    </row>
    <row r="23" spans="2:19" x14ac:dyDescent="0.3">
      <c r="B23" s="2" t="s">
        <v>11</v>
      </c>
      <c r="C23" s="7">
        <v>351</v>
      </c>
      <c r="E23" s="2" t="s">
        <v>11</v>
      </c>
      <c r="F23" s="7">
        <v>423</v>
      </c>
      <c r="H23" s="2" t="s">
        <v>11</v>
      </c>
      <c r="I23" s="7">
        <v>446</v>
      </c>
      <c r="K23" s="2" t="s">
        <v>11</v>
      </c>
      <c r="L23" s="7">
        <v>388</v>
      </c>
      <c r="O23" s="2" t="s">
        <v>11</v>
      </c>
      <c r="P23" s="7">
        <f t="shared" si="1"/>
        <v>402</v>
      </c>
      <c r="R23" s="3" t="s">
        <v>13</v>
      </c>
      <c r="S23" s="7">
        <v>683.5</v>
      </c>
    </row>
    <row r="24" spans="2:19" x14ac:dyDescent="0.3">
      <c r="B24" s="1" t="s">
        <v>12</v>
      </c>
      <c r="C24" s="9">
        <v>266</v>
      </c>
      <c r="D24" s="4"/>
      <c r="E24" s="1" t="s">
        <v>12</v>
      </c>
      <c r="F24" s="9">
        <v>295</v>
      </c>
      <c r="H24" s="1" t="s">
        <v>12</v>
      </c>
      <c r="I24" s="9">
        <v>301</v>
      </c>
      <c r="K24" s="1" t="s">
        <v>12</v>
      </c>
      <c r="L24" s="9">
        <v>253</v>
      </c>
      <c r="O24" s="1" t="s">
        <v>12</v>
      </c>
      <c r="P24" s="5">
        <f t="shared" si="1"/>
        <v>278.75</v>
      </c>
      <c r="R24" s="2" t="s">
        <v>2</v>
      </c>
      <c r="S24" s="6">
        <v>268</v>
      </c>
    </row>
    <row r="25" spans="2:19" x14ac:dyDescent="0.3">
      <c r="B25" s="2" t="s">
        <v>13</v>
      </c>
      <c r="C25" s="10">
        <v>609</v>
      </c>
      <c r="E25" s="2" t="s">
        <v>13</v>
      </c>
      <c r="F25" s="10">
        <v>902</v>
      </c>
      <c r="H25" s="2" t="s">
        <v>13</v>
      </c>
      <c r="I25" s="10">
        <v>631</v>
      </c>
      <c r="K25" s="2" t="s">
        <v>13</v>
      </c>
      <c r="L25" s="10">
        <v>586</v>
      </c>
      <c r="O25" s="2" t="s">
        <v>13</v>
      </c>
      <c r="P25" s="6">
        <f t="shared" si="1"/>
        <v>682</v>
      </c>
      <c r="R25" s="2" t="s">
        <v>11</v>
      </c>
      <c r="S25" s="6">
        <v>410.25</v>
      </c>
    </row>
    <row r="26" spans="2:19" x14ac:dyDescent="0.3">
      <c r="B26" s="3" t="s">
        <v>14</v>
      </c>
      <c r="C26" s="11">
        <v>298</v>
      </c>
      <c r="E26" s="3" t="s">
        <v>14</v>
      </c>
      <c r="F26" s="11">
        <v>368</v>
      </c>
      <c r="H26" s="3" t="s">
        <v>14</v>
      </c>
      <c r="I26" s="11">
        <v>378</v>
      </c>
      <c r="K26" s="3" t="s">
        <v>14</v>
      </c>
      <c r="L26" s="11">
        <v>303</v>
      </c>
      <c r="O26" s="3" t="s">
        <v>14</v>
      </c>
      <c r="P26" s="7">
        <f t="shared" si="1"/>
        <v>336.75</v>
      </c>
      <c r="R26" s="3" t="s">
        <v>14</v>
      </c>
      <c r="S26" s="7">
        <v>336.75</v>
      </c>
    </row>
    <row r="28" spans="2:19" x14ac:dyDescent="0.3">
      <c r="D28" s="4"/>
      <c r="E28" s="4"/>
    </row>
  </sheetData>
  <mergeCells count="12">
    <mergeCell ref="O4:P4"/>
    <mergeCell ref="O17:P17"/>
    <mergeCell ref="B15:M15"/>
    <mergeCell ref="B17:C17"/>
    <mergeCell ref="E17:F17"/>
    <mergeCell ref="H17:I17"/>
    <mergeCell ref="K17:L17"/>
    <mergeCell ref="B2:M2"/>
    <mergeCell ref="B4:C4"/>
    <mergeCell ref="E4:F4"/>
    <mergeCell ref="H4:I4"/>
    <mergeCell ref="K4:L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D67B-7EC4-4B9F-B026-C63141DEB954}">
  <dimension ref="A1:Y25"/>
  <sheetViews>
    <sheetView zoomScale="85" zoomScaleNormal="85" workbookViewId="0">
      <selection activeCell="N5" sqref="N5"/>
    </sheetView>
  </sheetViews>
  <sheetFormatPr defaultRowHeight="14.4" x14ac:dyDescent="0.3"/>
  <cols>
    <col min="1" max="1" width="12.33203125" customWidth="1"/>
    <col min="4" max="4" width="11.88671875" customWidth="1"/>
    <col min="7" max="7" width="12.44140625" customWidth="1"/>
    <col min="10" max="10" width="12.33203125" customWidth="1"/>
    <col min="13" max="13" width="12.44140625" customWidth="1"/>
    <col min="20" max="22" width="9.6640625" bestFit="1" customWidth="1"/>
    <col min="23" max="25" width="12.109375" bestFit="1" customWidth="1"/>
  </cols>
  <sheetData>
    <row r="1" spans="1:25" x14ac:dyDescent="0.3">
      <c r="A1" s="16" t="s">
        <v>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25" x14ac:dyDescent="0.3">
      <c r="B2" s="4"/>
      <c r="C2" s="8"/>
      <c r="E2" s="4"/>
      <c r="H2" s="4"/>
      <c r="K2" s="4"/>
    </row>
    <row r="3" spans="1:25" x14ac:dyDescent="0.3">
      <c r="A3" s="18" t="s">
        <v>21</v>
      </c>
      <c r="B3" s="19"/>
      <c r="C3" s="8"/>
      <c r="D3" s="18" t="s">
        <v>22</v>
      </c>
      <c r="E3" s="19"/>
      <c r="G3" s="18" t="s">
        <v>23</v>
      </c>
      <c r="H3" s="19"/>
      <c r="J3" s="18" t="s">
        <v>24</v>
      </c>
      <c r="K3" s="19"/>
      <c r="M3" s="18" t="s">
        <v>25</v>
      </c>
      <c r="N3" s="19"/>
    </row>
    <row r="4" spans="1:25" x14ac:dyDescent="0.3">
      <c r="A4" s="1" t="s">
        <v>0</v>
      </c>
      <c r="B4" s="5">
        <v>1.1100000000000001</v>
      </c>
      <c r="C4" s="8"/>
      <c r="D4" s="1" t="s">
        <v>0</v>
      </c>
      <c r="E4" s="5">
        <v>1.2</v>
      </c>
      <c r="G4" s="1" t="s">
        <v>0</v>
      </c>
      <c r="H4" s="5">
        <v>1.5</v>
      </c>
      <c r="J4" s="1" t="s">
        <v>0</v>
      </c>
      <c r="K4" s="5">
        <v>1.5</v>
      </c>
      <c r="M4" s="1" t="s">
        <v>0</v>
      </c>
      <c r="N4" s="5">
        <v>1.6</v>
      </c>
      <c r="Q4" s="12" t="s">
        <v>0</v>
      </c>
      <c r="R4" s="12" t="s">
        <v>1</v>
      </c>
      <c r="S4" s="12" t="s">
        <v>2</v>
      </c>
      <c r="T4" s="13" t="s">
        <v>9</v>
      </c>
      <c r="U4" s="12" t="s">
        <v>10</v>
      </c>
      <c r="V4" s="14" t="s">
        <v>11</v>
      </c>
      <c r="W4" s="12" t="s">
        <v>12</v>
      </c>
      <c r="X4" s="14" t="s">
        <v>13</v>
      </c>
      <c r="Y4" s="12" t="s">
        <v>14</v>
      </c>
    </row>
    <row r="5" spans="1:25" x14ac:dyDescent="0.3">
      <c r="A5" s="2" t="s">
        <v>1</v>
      </c>
      <c r="B5" s="6">
        <v>3.24</v>
      </c>
      <c r="C5" s="8"/>
      <c r="D5" s="2" t="s">
        <v>1</v>
      </c>
      <c r="E5" s="6">
        <v>4.75</v>
      </c>
      <c r="G5" s="2" t="s">
        <v>1</v>
      </c>
      <c r="H5" s="6">
        <v>5.75</v>
      </c>
      <c r="J5" s="2" t="s">
        <v>1</v>
      </c>
      <c r="K5" s="6">
        <v>7.32</v>
      </c>
      <c r="M5" s="2" t="s">
        <v>1</v>
      </c>
      <c r="N5" s="6">
        <v>10.66</v>
      </c>
      <c r="P5">
        <v>1</v>
      </c>
      <c r="Q5" s="5">
        <v>1.1100000000000001</v>
      </c>
      <c r="R5" s="6">
        <v>3.24</v>
      </c>
      <c r="S5" s="6">
        <v>2</v>
      </c>
      <c r="T5" s="6">
        <v>2.8</v>
      </c>
      <c r="U5" s="6">
        <v>6.8</v>
      </c>
      <c r="V5" s="6">
        <v>3.09</v>
      </c>
      <c r="W5" s="5">
        <v>2.0499999999999998</v>
      </c>
      <c r="X5" s="10">
        <v>4.8899999999999997</v>
      </c>
      <c r="Y5" s="5">
        <v>2.2999999999999998</v>
      </c>
    </row>
    <row r="6" spans="1:25" x14ac:dyDescent="0.3">
      <c r="A6" s="2" t="s">
        <v>2</v>
      </c>
      <c r="B6" s="7">
        <v>2</v>
      </c>
      <c r="C6" s="8"/>
      <c r="D6" s="2" t="s">
        <v>2</v>
      </c>
      <c r="E6" s="7">
        <v>2.4</v>
      </c>
      <c r="G6" s="2" t="s">
        <v>2</v>
      </c>
      <c r="H6" s="7">
        <v>2.73</v>
      </c>
      <c r="I6" s="2"/>
      <c r="J6" s="2" t="s">
        <v>2</v>
      </c>
      <c r="K6" s="7">
        <v>2.98</v>
      </c>
      <c r="M6" s="2" t="s">
        <v>2</v>
      </c>
      <c r="N6" s="7">
        <v>3.08</v>
      </c>
      <c r="P6">
        <v>2</v>
      </c>
      <c r="Q6" s="6">
        <v>1.2</v>
      </c>
      <c r="R6" s="6">
        <v>4.75</v>
      </c>
      <c r="S6" s="6">
        <v>2.4</v>
      </c>
      <c r="T6" s="6">
        <v>3.08</v>
      </c>
      <c r="U6" s="6">
        <v>13.94</v>
      </c>
      <c r="V6" s="6">
        <v>4.78</v>
      </c>
      <c r="W6" s="10">
        <v>2.1800000000000002</v>
      </c>
      <c r="X6" s="10">
        <v>8.89</v>
      </c>
      <c r="Y6" s="6">
        <v>2.99</v>
      </c>
    </row>
    <row r="7" spans="1:25" x14ac:dyDescent="0.3">
      <c r="A7" s="1" t="s">
        <v>9</v>
      </c>
      <c r="B7" s="6">
        <v>2.8</v>
      </c>
      <c r="C7" s="8"/>
      <c r="D7" s="1" t="s">
        <v>9</v>
      </c>
      <c r="E7" s="6">
        <v>3.08</v>
      </c>
      <c r="G7" s="1" t="s">
        <v>9</v>
      </c>
      <c r="H7" s="6">
        <v>3.24</v>
      </c>
      <c r="J7" s="1" t="s">
        <v>9</v>
      </c>
      <c r="K7" s="6">
        <v>3.46</v>
      </c>
      <c r="M7" s="1" t="s">
        <v>9</v>
      </c>
      <c r="N7" s="6">
        <v>3.75</v>
      </c>
      <c r="P7">
        <v>3</v>
      </c>
      <c r="Q7" s="6">
        <v>1.5</v>
      </c>
      <c r="R7" s="6">
        <v>5.75</v>
      </c>
      <c r="S7" s="6">
        <v>2.73</v>
      </c>
      <c r="T7" s="6">
        <v>3.24</v>
      </c>
      <c r="U7" s="6">
        <v>18.8</v>
      </c>
      <c r="V7" s="6">
        <v>6.2</v>
      </c>
      <c r="W7" s="6">
        <v>2.36</v>
      </c>
      <c r="X7" s="10">
        <v>11.12</v>
      </c>
      <c r="Y7" s="6">
        <v>3.82</v>
      </c>
    </row>
    <row r="8" spans="1:25" x14ac:dyDescent="0.3">
      <c r="A8" s="2" t="s">
        <v>10</v>
      </c>
      <c r="B8" s="6">
        <v>6.8</v>
      </c>
      <c r="C8" s="8"/>
      <c r="D8" s="2" t="s">
        <v>10</v>
      </c>
      <c r="E8" s="6">
        <v>13.94</v>
      </c>
      <c r="G8" s="2" t="s">
        <v>10</v>
      </c>
      <c r="H8" s="6">
        <v>18.8</v>
      </c>
      <c r="J8" s="2" t="s">
        <v>10</v>
      </c>
      <c r="K8" s="6">
        <v>27.15</v>
      </c>
      <c r="M8" s="2" t="s">
        <v>10</v>
      </c>
      <c r="N8" s="6">
        <v>43.48</v>
      </c>
      <c r="P8">
        <v>4</v>
      </c>
      <c r="Q8" s="6">
        <v>1.5</v>
      </c>
      <c r="R8" s="6">
        <v>7.32</v>
      </c>
      <c r="S8" s="6">
        <v>2.98</v>
      </c>
      <c r="T8" s="6">
        <v>3.46</v>
      </c>
      <c r="U8" s="6">
        <v>27.15</v>
      </c>
      <c r="V8" s="6">
        <v>6.7</v>
      </c>
      <c r="W8" s="6">
        <v>2.38</v>
      </c>
      <c r="X8" s="10">
        <v>15.07</v>
      </c>
      <c r="Y8" s="6">
        <v>4.24</v>
      </c>
    </row>
    <row r="9" spans="1:25" x14ac:dyDescent="0.3">
      <c r="A9" s="2" t="s">
        <v>11</v>
      </c>
      <c r="B9" s="7">
        <v>3.09</v>
      </c>
      <c r="C9" s="8"/>
      <c r="D9" s="2" t="s">
        <v>11</v>
      </c>
      <c r="E9" s="7">
        <v>4.78</v>
      </c>
      <c r="G9" s="2" t="s">
        <v>11</v>
      </c>
      <c r="H9" s="7">
        <v>6.2</v>
      </c>
      <c r="J9" s="2" t="s">
        <v>11</v>
      </c>
      <c r="K9" s="7">
        <v>6.7</v>
      </c>
      <c r="M9" s="2" t="s">
        <v>11</v>
      </c>
      <c r="N9" s="7">
        <v>8.17</v>
      </c>
      <c r="P9">
        <v>5</v>
      </c>
      <c r="Q9" s="7">
        <v>1.6</v>
      </c>
      <c r="R9" s="7">
        <v>10.66</v>
      </c>
      <c r="S9" s="7">
        <v>3.08</v>
      </c>
      <c r="T9" s="7">
        <v>3.75</v>
      </c>
      <c r="U9" s="7">
        <v>43.48</v>
      </c>
      <c r="V9" s="7">
        <v>8.17</v>
      </c>
      <c r="W9" s="11">
        <v>2.65</v>
      </c>
      <c r="X9" s="11">
        <v>22.78</v>
      </c>
      <c r="Y9" s="11">
        <v>4.53</v>
      </c>
    </row>
    <row r="10" spans="1:25" x14ac:dyDescent="0.3">
      <c r="A10" s="1" t="s">
        <v>12</v>
      </c>
      <c r="B10" s="9">
        <v>2.0499999999999998</v>
      </c>
      <c r="C10" s="4"/>
      <c r="D10" s="1" t="s">
        <v>12</v>
      </c>
      <c r="E10" s="9">
        <v>2.1800000000000002</v>
      </c>
      <c r="G10" s="1" t="s">
        <v>12</v>
      </c>
      <c r="H10" s="9">
        <v>2.36</v>
      </c>
      <c r="J10" s="1" t="s">
        <v>12</v>
      </c>
      <c r="K10" s="9">
        <v>2.38</v>
      </c>
      <c r="M10" s="1" t="s">
        <v>12</v>
      </c>
      <c r="N10" s="9">
        <v>2.65</v>
      </c>
    </row>
    <row r="11" spans="1:25" x14ac:dyDescent="0.3">
      <c r="A11" s="2" t="s">
        <v>13</v>
      </c>
      <c r="B11" s="10">
        <v>4.8899999999999997</v>
      </c>
      <c r="C11" s="8"/>
      <c r="D11" s="2" t="s">
        <v>13</v>
      </c>
      <c r="E11" s="10">
        <v>8.89</v>
      </c>
      <c r="G11" s="2" t="s">
        <v>13</v>
      </c>
      <c r="H11" s="10">
        <v>11.12</v>
      </c>
      <c r="J11" s="2" t="s">
        <v>13</v>
      </c>
      <c r="K11" s="10">
        <v>15.07</v>
      </c>
      <c r="M11" s="2" t="s">
        <v>13</v>
      </c>
      <c r="N11" s="10">
        <v>22.78</v>
      </c>
    </row>
    <row r="12" spans="1:25" x14ac:dyDescent="0.3">
      <c r="A12" s="3" t="s">
        <v>14</v>
      </c>
      <c r="B12" s="11">
        <v>2.2999999999999998</v>
      </c>
      <c r="C12" s="8"/>
      <c r="D12" s="3" t="s">
        <v>14</v>
      </c>
      <c r="E12" s="11">
        <v>2.99</v>
      </c>
      <c r="G12" s="3" t="s">
        <v>14</v>
      </c>
      <c r="H12" s="11">
        <v>3.82</v>
      </c>
      <c r="J12" s="3" t="s">
        <v>14</v>
      </c>
      <c r="K12" s="11">
        <v>4.24</v>
      </c>
      <c r="M12" s="3" t="s">
        <v>14</v>
      </c>
      <c r="N12" s="11">
        <v>4.53</v>
      </c>
      <c r="Q12" s="4"/>
      <c r="R12" s="4"/>
      <c r="S12" s="4"/>
      <c r="T12" s="4"/>
      <c r="U12" s="4"/>
    </row>
    <row r="13" spans="1:25" x14ac:dyDescent="0.3">
      <c r="A13" s="15"/>
      <c r="B13" s="4"/>
      <c r="C13" s="8"/>
      <c r="E13" s="4"/>
      <c r="H13" s="4"/>
      <c r="K13" s="4"/>
      <c r="N13" s="4"/>
      <c r="Q13" s="4"/>
      <c r="R13" s="4"/>
      <c r="S13" s="4"/>
      <c r="T13" s="4"/>
      <c r="U13" s="4"/>
    </row>
    <row r="14" spans="1:25" x14ac:dyDescent="0.3">
      <c r="A14" s="16" t="s">
        <v>4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25" x14ac:dyDescent="0.3">
      <c r="B15" s="4"/>
      <c r="C15" s="8"/>
      <c r="E15" s="4"/>
      <c r="H15" s="4"/>
      <c r="K15" s="4"/>
    </row>
    <row r="16" spans="1:25" x14ac:dyDescent="0.3">
      <c r="A16" s="18" t="s">
        <v>16</v>
      </c>
      <c r="B16" s="19"/>
      <c r="C16" s="8"/>
      <c r="D16" s="18" t="s">
        <v>17</v>
      </c>
      <c r="E16" s="19"/>
      <c r="G16" s="18" t="s">
        <v>18</v>
      </c>
      <c r="H16" s="19"/>
      <c r="J16" s="18" t="s">
        <v>19</v>
      </c>
      <c r="K16" s="19"/>
      <c r="M16" s="18" t="s">
        <v>20</v>
      </c>
      <c r="N16" s="19"/>
    </row>
    <row r="17" spans="1:25" x14ac:dyDescent="0.3">
      <c r="A17" s="1" t="s">
        <v>0</v>
      </c>
      <c r="B17" s="5">
        <v>222</v>
      </c>
      <c r="C17" s="8"/>
      <c r="D17" s="1" t="s">
        <v>0</v>
      </c>
      <c r="E17" s="5">
        <v>223</v>
      </c>
      <c r="G17" s="1" t="s">
        <v>0</v>
      </c>
      <c r="H17" s="5">
        <v>227</v>
      </c>
      <c r="J17" s="1" t="s">
        <v>0</v>
      </c>
      <c r="K17" s="5">
        <v>227</v>
      </c>
      <c r="M17" s="1" t="s">
        <v>0</v>
      </c>
      <c r="N17" s="5">
        <v>227</v>
      </c>
      <c r="Q17" s="12" t="s">
        <v>0</v>
      </c>
      <c r="R17" s="12" t="s">
        <v>1</v>
      </c>
      <c r="S17" s="12" t="s">
        <v>2</v>
      </c>
      <c r="T17" s="13" t="s">
        <v>9</v>
      </c>
      <c r="U17" s="12" t="s">
        <v>10</v>
      </c>
      <c r="V17" s="14" t="s">
        <v>11</v>
      </c>
      <c r="W17" s="12" t="s">
        <v>12</v>
      </c>
      <c r="X17" s="14" t="s">
        <v>13</v>
      </c>
      <c r="Y17" s="12" t="s">
        <v>14</v>
      </c>
    </row>
    <row r="18" spans="1:25" x14ac:dyDescent="0.3">
      <c r="A18" s="2" t="s">
        <v>1</v>
      </c>
      <c r="B18" s="6">
        <v>388</v>
      </c>
      <c r="C18" s="8"/>
      <c r="D18" s="2" t="s">
        <v>1</v>
      </c>
      <c r="E18" s="6">
        <v>542</v>
      </c>
      <c r="G18" s="2" t="s">
        <v>1</v>
      </c>
      <c r="H18" s="6">
        <v>622</v>
      </c>
      <c r="J18" s="2" t="s">
        <v>1</v>
      </c>
      <c r="K18" s="6">
        <v>730</v>
      </c>
      <c r="M18" s="2" t="s">
        <v>1</v>
      </c>
      <c r="N18" s="6">
        <v>927</v>
      </c>
      <c r="P18">
        <v>1</v>
      </c>
      <c r="Q18" s="5">
        <v>222</v>
      </c>
      <c r="R18" s="6">
        <v>388</v>
      </c>
      <c r="S18" s="6">
        <v>227</v>
      </c>
      <c r="T18" s="6">
        <v>320</v>
      </c>
      <c r="U18" s="6">
        <v>705</v>
      </c>
      <c r="V18" s="6">
        <v>354</v>
      </c>
      <c r="W18" s="9">
        <v>244</v>
      </c>
      <c r="X18" s="10">
        <v>546</v>
      </c>
      <c r="Y18" s="10">
        <v>261</v>
      </c>
    </row>
    <row r="19" spans="1:25" x14ac:dyDescent="0.3">
      <c r="A19" s="2" t="s">
        <v>2</v>
      </c>
      <c r="B19" s="7">
        <v>227</v>
      </c>
      <c r="C19" s="8"/>
      <c r="D19" s="2" t="s">
        <v>2</v>
      </c>
      <c r="E19" s="7">
        <v>277</v>
      </c>
      <c r="G19" s="2" t="s">
        <v>2</v>
      </c>
      <c r="H19" s="7">
        <v>332</v>
      </c>
      <c r="I19" s="2"/>
      <c r="J19" s="2" t="s">
        <v>2</v>
      </c>
      <c r="K19" s="7">
        <v>356</v>
      </c>
      <c r="M19" s="2" t="s">
        <v>2</v>
      </c>
      <c r="N19" s="7">
        <v>373</v>
      </c>
      <c r="P19">
        <v>2</v>
      </c>
      <c r="Q19" s="6">
        <v>223</v>
      </c>
      <c r="R19" s="6">
        <v>542</v>
      </c>
      <c r="S19" s="6">
        <v>277</v>
      </c>
      <c r="T19" s="6">
        <v>364</v>
      </c>
      <c r="U19" s="6">
        <v>1181</v>
      </c>
      <c r="V19" s="6">
        <v>521</v>
      </c>
      <c r="W19" s="6">
        <v>257</v>
      </c>
      <c r="X19" s="10">
        <v>804</v>
      </c>
      <c r="Y19" s="6">
        <v>354</v>
      </c>
    </row>
    <row r="20" spans="1:25" x14ac:dyDescent="0.3">
      <c r="A20" s="1" t="s">
        <v>9</v>
      </c>
      <c r="B20" s="6">
        <v>320</v>
      </c>
      <c r="C20" s="8"/>
      <c r="D20" s="1" t="s">
        <v>9</v>
      </c>
      <c r="E20" s="6">
        <v>364</v>
      </c>
      <c r="G20" s="1" t="s">
        <v>9</v>
      </c>
      <c r="H20" s="6">
        <v>392</v>
      </c>
      <c r="J20" s="1" t="s">
        <v>9</v>
      </c>
      <c r="K20" s="6">
        <v>392</v>
      </c>
      <c r="M20" s="1" t="s">
        <v>9</v>
      </c>
      <c r="N20" s="6">
        <v>425</v>
      </c>
      <c r="P20">
        <v>3</v>
      </c>
      <c r="Q20" s="6">
        <v>227</v>
      </c>
      <c r="R20" s="6">
        <v>622</v>
      </c>
      <c r="S20" s="6">
        <v>332</v>
      </c>
      <c r="T20" s="6">
        <v>392</v>
      </c>
      <c r="U20" s="6">
        <v>1382</v>
      </c>
      <c r="V20" s="6">
        <v>650</v>
      </c>
      <c r="W20" s="6">
        <v>287</v>
      </c>
      <c r="X20" s="10">
        <v>948</v>
      </c>
      <c r="Y20" s="6">
        <v>439</v>
      </c>
    </row>
    <row r="21" spans="1:25" x14ac:dyDescent="0.3">
      <c r="A21" s="2" t="s">
        <v>10</v>
      </c>
      <c r="B21" s="6">
        <v>705</v>
      </c>
      <c r="C21" s="8"/>
      <c r="D21" s="2" t="s">
        <v>10</v>
      </c>
      <c r="E21" s="6">
        <v>1181</v>
      </c>
      <c r="G21" s="2" t="s">
        <v>10</v>
      </c>
      <c r="H21" s="6">
        <v>1382</v>
      </c>
      <c r="J21" s="2" t="s">
        <v>10</v>
      </c>
      <c r="K21" s="6">
        <v>1737</v>
      </c>
      <c r="M21" s="2" t="s">
        <v>10</v>
      </c>
      <c r="N21" s="6">
        <v>2190</v>
      </c>
      <c r="P21">
        <v>4</v>
      </c>
      <c r="Q21" s="6">
        <v>227</v>
      </c>
      <c r="R21" s="6">
        <v>730</v>
      </c>
      <c r="S21" s="6">
        <v>356</v>
      </c>
      <c r="T21" s="6">
        <v>392</v>
      </c>
      <c r="U21" s="6">
        <v>1737</v>
      </c>
      <c r="V21" s="6">
        <v>706</v>
      </c>
      <c r="W21" s="6">
        <v>287</v>
      </c>
      <c r="X21" s="10">
        <v>1172</v>
      </c>
      <c r="Y21" s="6">
        <v>485</v>
      </c>
    </row>
    <row r="22" spans="1:25" x14ac:dyDescent="0.3">
      <c r="A22" s="2" t="s">
        <v>11</v>
      </c>
      <c r="B22" s="7">
        <v>354</v>
      </c>
      <c r="C22" s="8"/>
      <c r="D22" s="2" t="s">
        <v>11</v>
      </c>
      <c r="E22" s="7">
        <v>521</v>
      </c>
      <c r="G22" s="2" t="s">
        <v>11</v>
      </c>
      <c r="H22" s="7">
        <v>650</v>
      </c>
      <c r="J22" s="2" t="s">
        <v>11</v>
      </c>
      <c r="K22" s="7">
        <v>706</v>
      </c>
      <c r="M22" s="2" t="s">
        <v>11</v>
      </c>
      <c r="N22" s="7">
        <v>785</v>
      </c>
      <c r="P22">
        <v>5</v>
      </c>
      <c r="Q22" s="7">
        <v>227</v>
      </c>
      <c r="R22" s="7">
        <v>927</v>
      </c>
      <c r="S22" s="7">
        <v>373</v>
      </c>
      <c r="T22" s="7">
        <v>425</v>
      </c>
      <c r="U22" s="7">
        <v>2190</v>
      </c>
      <c r="V22" s="7">
        <v>785</v>
      </c>
      <c r="W22" s="7">
        <v>309</v>
      </c>
      <c r="X22" s="11">
        <v>1534</v>
      </c>
      <c r="Y22" s="7">
        <v>524</v>
      </c>
    </row>
    <row r="23" spans="1:25" x14ac:dyDescent="0.3">
      <c r="A23" s="1" t="s">
        <v>12</v>
      </c>
      <c r="B23" s="9">
        <v>244</v>
      </c>
      <c r="C23" s="4"/>
      <c r="D23" s="1" t="s">
        <v>12</v>
      </c>
      <c r="E23" s="9">
        <v>257</v>
      </c>
      <c r="G23" s="1" t="s">
        <v>12</v>
      </c>
      <c r="H23" s="9">
        <v>287</v>
      </c>
      <c r="J23" s="1" t="s">
        <v>12</v>
      </c>
      <c r="K23" s="9">
        <v>287</v>
      </c>
      <c r="M23" s="1" t="s">
        <v>12</v>
      </c>
      <c r="N23" s="9">
        <v>309</v>
      </c>
    </row>
    <row r="24" spans="1:25" x14ac:dyDescent="0.3">
      <c r="A24" s="2" t="s">
        <v>13</v>
      </c>
      <c r="B24" s="10">
        <v>546</v>
      </c>
      <c r="C24" s="8"/>
      <c r="D24" s="2" t="s">
        <v>13</v>
      </c>
      <c r="E24" s="10">
        <v>804</v>
      </c>
      <c r="G24" s="2" t="s">
        <v>13</v>
      </c>
      <c r="H24" s="10">
        <v>948</v>
      </c>
      <c r="J24" s="2" t="s">
        <v>13</v>
      </c>
      <c r="K24" s="10">
        <v>1172</v>
      </c>
      <c r="M24" s="2" t="s">
        <v>13</v>
      </c>
      <c r="N24" s="10">
        <v>1534</v>
      </c>
    </row>
    <row r="25" spans="1:25" x14ac:dyDescent="0.3">
      <c r="A25" s="3" t="s">
        <v>14</v>
      </c>
      <c r="B25" s="11">
        <v>261</v>
      </c>
      <c r="C25" s="8"/>
      <c r="D25" s="3" t="s">
        <v>14</v>
      </c>
      <c r="E25" s="11">
        <v>354</v>
      </c>
      <c r="G25" s="3" t="s">
        <v>14</v>
      </c>
      <c r="H25" s="11">
        <v>439</v>
      </c>
      <c r="J25" s="3" t="s">
        <v>14</v>
      </c>
      <c r="K25" s="11">
        <v>485</v>
      </c>
      <c r="M25" s="3" t="s">
        <v>14</v>
      </c>
      <c r="N25" s="11">
        <v>524</v>
      </c>
      <c r="Q25" s="4"/>
      <c r="R25" s="4"/>
      <c r="S25" s="4"/>
      <c r="T25" s="4"/>
      <c r="U25" s="4"/>
    </row>
  </sheetData>
  <mergeCells count="12">
    <mergeCell ref="A14:N14"/>
    <mergeCell ref="A1:N1"/>
    <mergeCell ref="A3:B3"/>
    <mergeCell ref="D3:E3"/>
    <mergeCell ref="G3:H3"/>
    <mergeCell ref="J3:K3"/>
    <mergeCell ref="M3:N3"/>
    <mergeCell ref="A16:B16"/>
    <mergeCell ref="D16:E16"/>
    <mergeCell ref="G16:H16"/>
    <mergeCell ref="J16:K16"/>
    <mergeCell ref="M16:N1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ED8C70-51B7-4CAE-8918-7DE2B40D65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Single_obs</vt:lpstr>
      <vt:lpstr>Multiple_obs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</dc:creator>
  <cp:lastModifiedBy>M Kh</cp:lastModifiedBy>
  <cp:lastPrinted>2023-09-07T10:02:26Z</cp:lastPrinted>
  <dcterms:created xsi:type="dcterms:W3CDTF">2023-09-06T13:34:25Z</dcterms:created>
  <dcterms:modified xsi:type="dcterms:W3CDTF">2025-10-21T14:57:11Z</dcterms:modified>
</cp:coreProperties>
</file>